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uhdS\Desktop\ISEA-lab\lab2\"/>
    </mc:Choice>
  </mc:AlternateContent>
  <xr:revisionPtr revIDLastSave="0" documentId="8_{2FB95039-F1DA-48F0-81F4-40DD54E94B5A}" xr6:coauthVersionLast="47" xr6:coauthVersionMax="47" xr10:uidLastSave="{00000000-0000-0000-0000-000000000000}"/>
  <bookViews>
    <workbookView xWindow="57480" yWindow="-120" windowWidth="29040" windowHeight="15720" xr2:uid="{0A339E6A-CDDB-43BD-8673-22DA446926E8}"/>
  </bookViews>
  <sheets>
    <sheet name="TCO Mode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5" i="1" l="1"/>
  <c r="H21" i="1" s="1"/>
  <c r="E15" i="1"/>
  <c r="E21" i="1" s="1"/>
  <c r="F19" i="1"/>
  <c r="F18" i="1"/>
  <c r="C19" i="1"/>
  <c r="C18" i="1"/>
  <c r="E17" i="1"/>
  <c r="B11" i="1"/>
  <c r="G17" i="1" s="1"/>
  <c r="H17" i="1" s="1"/>
  <c r="B12" i="1"/>
  <c r="D19" i="1" s="1"/>
  <c r="D16" i="1" l="1"/>
  <c r="E19" i="1"/>
  <c r="G18" i="1"/>
  <c r="H18" i="1" s="1"/>
  <c r="E16" i="1"/>
  <c r="G19" i="1"/>
  <c r="H19" i="1" s="1"/>
  <c r="D18" i="1"/>
  <c r="E18" i="1" s="1"/>
  <c r="G16" i="1"/>
  <c r="H16" i="1" s="1"/>
  <c r="E22" i="1" l="1"/>
  <c r="E23" i="1" s="1"/>
  <c r="E24" i="1" s="1"/>
  <c r="H22" i="1"/>
  <c r="H23" i="1" s="1"/>
  <c r="H24" i="1" s="1"/>
</calcChain>
</file>

<file path=xl/sharedStrings.xml><?xml version="1.0" encoding="utf-8"?>
<sst xmlns="http://schemas.openxmlformats.org/spreadsheetml/2006/main" count="83" uniqueCount="80">
  <si>
    <t>5 Year Printer Total Cost of Ownership (TCO)</t>
  </si>
  <si>
    <t>Assumptions</t>
  </si>
  <si>
    <t>Comparison period (years)</t>
  </si>
  <si>
    <t>Weeks per year</t>
  </si>
  <si>
    <t>Pagers printed per week</t>
  </si>
  <si>
    <t>Power-on hours per week</t>
  </si>
  <si>
    <t>Pages per paper ream</t>
  </si>
  <si>
    <t>Paper cost per ream ($)</t>
  </si>
  <si>
    <t>Electricity ratw per kWh ($)</t>
  </si>
  <si>
    <t>Total pages over 5 years</t>
  </si>
  <si>
    <t>Total power-on hours</t>
  </si>
  <si>
    <t>Item Description</t>
  </si>
  <si>
    <t>Type</t>
  </si>
  <si>
    <t>HP unit price</t>
  </si>
  <si>
    <t>HP unit used</t>
  </si>
  <si>
    <t>HP total cost</t>
  </si>
  <si>
    <t>Brother unit price</t>
  </si>
  <si>
    <t>Brother units used</t>
  </si>
  <si>
    <t>Brother total cost</t>
  </si>
  <si>
    <t>Printer</t>
  </si>
  <si>
    <t>Fixed</t>
  </si>
  <si>
    <t>Ink / Toner</t>
  </si>
  <si>
    <t>Variable</t>
  </si>
  <si>
    <t>Drum</t>
  </si>
  <si>
    <t>Paper</t>
  </si>
  <si>
    <t xml:space="preserve">Electricity </t>
  </si>
  <si>
    <t>Fixed total cost</t>
  </si>
  <si>
    <t>Variable total cost</t>
  </si>
  <si>
    <t>5 Year TCO</t>
  </si>
  <si>
    <t>Cost per page</t>
  </si>
  <si>
    <t>Printer Details</t>
  </si>
  <si>
    <t>HP DeskJet 2821e</t>
  </si>
  <si>
    <t>Brother HL-L2460DW</t>
  </si>
  <si>
    <t>Printer type</t>
  </si>
  <si>
    <t>Color Inkjet All-In-One</t>
  </si>
  <si>
    <t>Monochrome Laser Printer</t>
  </si>
  <si>
    <t>Printer Model</t>
  </si>
  <si>
    <t>Intended use</t>
  </si>
  <si>
    <t>Home / Personal</t>
  </si>
  <si>
    <t>Consumable used</t>
  </si>
  <si>
    <t>HP 67XL Black</t>
  </si>
  <si>
    <t>TN2560XL toner and DR2560 drum</t>
  </si>
  <si>
    <t>Consumable yield</t>
  </si>
  <si>
    <t>240 pages</t>
  </si>
  <si>
    <t>Toner: 3000 pages, Drum: 15000 pages</t>
  </si>
  <si>
    <t>Ready-mode power</t>
  </si>
  <si>
    <t>2.8W</t>
  </si>
  <si>
    <t>43W</t>
  </si>
  <si>
    <t>Office / Workgroup</t>
  </si>
  <si>
    <t>HP Printer</t>
  </si>
  <si>
    <t>https://popular.com.sg/products/hp-deskjet-2821e</t>
  </si>
  <si>
    <t>HP ink and yield</t>
  </si>
  <si>
    <t>Brother Printer</t>
  </si>
  <si>
    <t>Brother drum</t>
  </si>
  <si>
    <t>HP descriptions</t>
  </si>
  <si>
    <t>Brother descriptions</t>
  </si>
  <si>
    <t>Paper price</t>
  </si>
  <si>
    <t>Electricity rate</t>
  </si>
  <si>
    <t>https://www.hp.com/sg-en/shop/hp-67xl-high-yield-black-original-ink-cartridge-3ym57aa.html</t>
  </si>
  <si>
    <t>Links</t>
  </si>
  <si>
    <t>https://www.hp.com/ph-en/products/printers/product-details/product-specifications/2101377219</t>
  </si>
  <si>
    <t>https://www.brother.com.sg/en/blog/revolutionize-your-workflow-with-the-latest-brother-monochrome-laser-printer-series</t>
  </si>
  <si>
    <t>https://www.brother.com.sg/en/supplies/supplies-detail/tn2560xl</t>
  </si>
  <si>
    <t xml:space="preserve">Brother toner and yield </t>
  </si>
  <si>
    <t>https://www.brother.com.sg/en/supplies/supplies-detail/dr2560</t>
  </si>
  <si>
    <t>https://www.brother.com.sg/en/printers/all-printers/hl-l2460dw</t>
  </si>
  <si>
    <t>https://thestationeryshop.com.sg/product-category/paper-products/</t>
  </si>
  <si>
    <t>https://ema.gov.sg/consumer-information/electricity/buying-electricity/buying-at-regulated-tariff</t>
  </si>
  <si>
    <t>Products</t>
  </si>
  <si>
    <t>Based on the TCO, which printer is the most cost-efffective over 5 years?</t>
  </si>
  <si>
    <t>Brother HL-L2460DW is the most cost-effective, the 5 year TCO is $11,786.12 while HP printer is $39,409.38. Brother toner has a higher page yield.</t>
  </si>
  <si>
    <t>Would the answer change for a home user who prints only 5 pages per week?</t>
  </si>
  <si>
    <t>Reflection questions</t>
  </si>
  <si>
    <t>Yes, HP DeskJet 2821e would be more cost effective for home use as it is cheaper and the user would not need to print enough to benefit from Brother printer's cheaper cost per page.</t>
  </si>
  <si>
    <t>What other non-financial factors could influence printer selection?</t>
  </si>
  <si>
    <t>Maintenance requirements, print quality, ease of use, print speed, warranty, colour capability, etc.</t>
  </si>
  <si>
    <t>What cost components are more significant for a large workgroup printer?</t>
  </si>
  <si>
    <t>Electricity, toner, maintenance, drum replacement are more significant as a workgroup printer handles a much larger printing volume.</t>
  </si>
  <si>
    <t>At what point (in years/pages) do the two printer options break even in cost?</t>
  </si>
  <si>
    <t>Approximately 2,200 pages is the estimated break-even point. This would happen in about 3 weeks at 750 pages per week, which is why Brother printer becomes more cost-effective.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</si>
</sst>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5" formatCode="&quot;$&quot;#,##0.00"/>
    <numFmt numFmtId="166" formatCode="&quot;$&quot;#,##0.00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1" xfId="0" applyBorder="1"/>
    <xf numFmtId="8" fontId="0" fillId="0" borderId="1" xfId="0" applyNumberFormat="1" applyBorder="1"/>
    <xf numFmtId="0" fontId="1" fillId="0" borderId="0" xfId="0" applyFont="1"/>
    <xf numFmtId="0" fontId="1" fillId="0" borderId="1" xfId="0" applyFont="1" applyBorder="1"/>
    <xf numFmtId="0" fontId="2" fillId="0" borderId="1" xfId="1" applyBorder="1"/>
    <xf numFmtId="0" fontId="1" fillId="2" borderId="1" xfId="0" applyFont="1" applyFill="1" applyBorder="1"/>
    <xf numFmtId="0" fontId="1" fillId="3" borderId="0" xfId="0" applyFont="1" applyFill="1"/>
    <xf numFmtId="165" fontId="0" fillId="0" borderId="1" xfId="0" applyNumberFormat="1" applyBorder="1"/>
    <xf numFmtId="165" fontId="0" fillId="0" borderId="0" xfId="0" applyNumberFormat="1"/>
    <xf numFmtId="165" fontId="1" fillId="2" borderId="1" xfId="0" applyNumberFormat="1" applyFont="1" applyFill="1" applyBorder="1"/>
    <xf numFmtId="166" fontId="0" fillId="0" borderId="1" xfId="0" applyNumberFormat="1" applyBorder="1"/>
    <xf numFmtId="0" fontId="1" fillId="0" borderId="1"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hestationeryshop.com.sg/product-category/paper-products/" TargetMode="External"/><Relationship Id="rId3" Type="http://schemas.openxmlformats.org/officeDocument/2006/relationships/hyperlink" Target="https://www.hp.com/ph-en/products/printers/product-details/product-specifications/2101377219" TargetMode="External"/><Relationship Id="rId7" Type="http://schemas.openxmlformats.org/officeDocument/2006/relationships/hyperlink" Target="https://www.brother.com.sg/en/printers/all-printers/hl-l2460dw" TargetMode="External"/><Relationship Id="rId2" Type="http://schemas.openxmlformats.org/officeDocument/2006/relationships/hyperlink" Target="https://www.hp.com/sg-en/shop/hp-67xl-high-yield-black-original-ink-cartridge-3ym57aa.html" TargetMode="External"/><Relationship Id="rId1" Type="http://schemas.openxmlformats.org/officeDocument/2006/relationships/hyperlink" Target="https://popular.com.sg/products/hp-deskjet-2821e" TargetMode="External"/><Relationship Id="rId6" Type="http://schemas.openxmlformats.org/officeDocument/2006/relationships/hyperlink" Target="https://www.brother.com.sg/en/supplies/supplies-detail/dr2560" TargetMode="External"/><Relationship Id="rId5" Type="http://schemas.openxmlformats.org/officeDocument/2006/relationships/hyperlink" Target="https://www.brother.com.sg/en/supplies/supplies-detail/tn2560xl" TargetMode="External"/><Relationship Id="rId10" Type="http://schemas.openxmlformats.org/officeDocument/2006/relationships/printerSettings" Target="../printerSettings/printerSettings1.bin"/><Relationship Id="rId4" Type="http://schemas.openxmlformats.org/officeDocument/2006/relationships/hyperlink" Target="https://www.brother.com.sg/en/blog/revolutionize-your-workflow-with-the-latest-brother-monochrome-laser-printer-series" TargetMode="External"/><Relationship Id="rId9" Type="http://schemas.openxmlformats.org/officeDocument/2006/relationships/hyperlink" Target="https://ema.gov.sg/consumer-information/electricity/buying-electricity/buying-at-regulated-tarif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0663-2CBC-40F2-997B-7128DA7D1036}">
  <dimension ref="A1:H59"/>
  <sheetViews>
    <sheetView tabSelected="1" topLeftCell="A9" zoomScale="85" zoomScaleNormal="85" workbookViewId="0">
      <selection activeCell="L35" sqref="L35"/>
    </sheetView>
  </sheetViews>
  <sheetFormatPr defaultRowHeight="14.4" x14ac:dyDescent="0.55000000000000004"/>
  <cols>
    <col min="1" max="1" width="28.578125" customWidth="1"/>
    <col min="2" max="2" width="24.578125" customWidth="1"/>
    <col min="3" max="3" width="30.578125" customWidth="1"/>
    <col min="4" max="4" width="14.578125" customWidth="1"/>
    <col min="5" max="5" width="16.578125" customWidth="1"/>
    <col min="6" max="8" width="18.578125" customWidth="1"/>
    <col min="11" max="11" width="28.578125" customWidth="1"/>
  </cols>
  <sheetData>
    <row r="1" spans="1:8" x14ac:dyDescent="0.55000000000000004">
      <c r="A1" s="3" t="s">
        <v>0</v>
      </c>
    </row>
    <row r="3" spans="1:8" x14ac:dyDescent="0.55000000000000004">
      <c r="A3" s="4" t="s">
        <v>1</v>
      </c>
      <c r="B3" s="1"/>
    </row>
    <row r="4" spans="1:8" x14ac:dyDescent="0.55000000000000004">
      <c r="A4" s="1" t="s">
        <v>2</v>
      </c>
      <c r="B4" s="1">
        <v>5</v>
      </c>
    </row>
    <row r="5" spans="1:8" x14ac:dyDescent="0.55000000000000004">
      <c r="A5" s="1" t="s">
        <v>3</v>
      </c>
      <c r="B5" s="1">
        <v>52</v>
      </c>
    </row>
    <row r="6" spans="1:8" x14ac:dyDescent="0.55000000000000004">
      <c r="A6" s="1" t="s">
        <v>4</v>
      </c>
      <c r="B6" s="1">
        <v>750</v>
      </c>
    </row>
    <row r="7" spans="1:8" x14ac:dyDescent="0.55000000000000004">
      <c r="A7" s="1" t="s">
        <v>5</v>
      </c>
      <c r="B7" s="1">
        <v>40</v>
      </c>
    </row>
    <row r="8" spans="1:8" x14ac:dyDescent="0.55000000000000004">
      <c r="A8" s="1" t="s">
        <v>6</v>
      </c>
      <c r="B8" s="1">
        <v>500</v>
      </c>
    </row>
    <row r="9" spans="1:8" x14ac:dyDescent="0.55000000000000004">
      <c r="A9" s="1" t="s">
        <v>7</v>
      </c>
      <c r="B9" s="2">
        <v>4.93</v>
      </c>
    </row>
    <row r="10" spans="1:8" x14ac:dyDescent="0.55000000000000004">
      <c r="A10" s="1" t="s">
        <v>8</v>
      </c>
      <c r="B10" s="2">
        <v>0.3478</v>
      </c>
    </row>
    <row r="11" spans="1:8" x14ac:dyDescent="0.55000000000000004">
      <c r="A11" s="1" t="s">
        <v>9</v>
      </c>
      <c r="B11" s="1">
        <f>B4*B5*B6</f>
        <v>195000</v>
      </c>
    </row>
    <row r="12" spans="1:8" x14ac:dyDescent="0.55000000000000004">
      <c r="A12" s="1" t="s">
        <v>10</v>
      </c>
      <c r="B12" s="1">
        <f>B4*B5*B7</f>
        <v>10400</v>
      </c>
    </row>
    <row r="14" spans="1:8" x14ac:dyDescent="0.55000000000000004">
      <c r="A14" s="12" t="s">
        <v>11</v>
      </c>
      <c r="B14" s="12" t="s">
        <v>12</v>
      </c>
      <c r="C14" s="12" t="s">
        <v>13</v>
      </c>
      <c r="D14" s="12" t="s">
        <v>14</v>
      </c>
      <c r="E14" s="12" t="s">
        <v>15</v>
      </c>
      <c r="F14" s="12" t="s">
        <v>16</v>
      </c>
      <c r="G14" s="12" t="s">
        <v>17</v>
      </c>
      <c r="H14" s="12" t="s">
        <v>18</v>
      </c>
    </row>
    <row r="15" spans="1:8" x14ac:dyDescent="0.55000000000000004">
      <c r="A15" s="1" t="s">
        <v>19</v>
      </c>
      <c r="B15" s="1" t="s">
        <v>20</v>
      </c>
      <c r="C15" s="8">
        <v>79</v>
      </c>
      <c r="D15" s="1">
        <v>1</v>
      </c>
      <c r="E15" s="8">
        <f>C15*D15</f>
        <v>79</v>
      </c>
      <c r="F15" s="8">
        <v>238</v>
      </c>
      <c r="G15" s="1">
        <v>1</v>
      </c>
      <c r="H15" s="8">
        <f>F15*G15</f>
        <v>238</v>
      </c>
    </row>
    <row r="16" spans="1:8" x14ac:dyDescent="0.55000000000000004">
      <c r="A16" s="1" t="s">
        <v>21</v>
      </c>
      <c r="B16" s="1" t="s">
        <v>22</v>
      </c>
      <c r="C16" s="8">
        <v>46</v>
      </c>
      <c r="D16" s="1">
        <f>ROUNDUP(B$11/240,0)</f>
        <v>813</v>
      </c>
      <c r="E16" s="8">
        <f>C16*D16</f>
        <v>37398</v>
      </c>
      <c r="F16" s="8">
        <v>118</v>
      </c>
      <c r="G16" s="1">
        <f>ROUNDUP(MAX(0,$B$11-1200)/3000,0)</f>
        <v>65</v>
      </c>
      <c r="H16" s="8">
        <f>F16*G16</f>
        <v>7670</v>
      </c>
    </row>
    <row r="17" spans="1:8" x14ac:dyDescent="0.55000000000000004">
      <c r="A17" s="1" t="s">
        <v>23</v>
      </c>
      <c r="B17" s="1" t="s">
        <v>22</v>
      </c>
      <c r="C17" s="8">
        <v>0</v>
      </c>
      <c r="D17" s="1">
        <v>0</v>
      </c>
      <c r="E17" s="8">
        <f>C17*D17</f>
        <v>0</v>
      </c>
      <c r="F17" s="8">
        <v>149.99</v>
      </c>
      <c r="G17" s="1">
        <f>ROUNDUP(MAX(0,$B$11-15000)/15000,0)</f>
        <v>12</v>
      </c>
      <c r="H17" s="8">
        <f>F17*G17</f>
        <v>1799.88</v>
      </c>
    </row>
    <row r="18" spans="1:8" x14ac:dyDescent="0.55000000000000004">
      <c r="A18" s="1" t="s">
        <v>24</v>
      </c>
      <c r="B18" s="1" t="s">
        <v>22</v>
      </c>
      <c r="C18" s="8">
        <f>$B$9</f>
        <v>4.93</v>
      </c>
      <c r="D18" s="1">
        <f>ROUNDUP($B$11/B$8,0)</f>
        <v>390</v>
      </c>
      <c r="E18" s="8">
        <f>C18*D18</f>
        <v>1922.6999999999998</v>
      </c>
      <c r="F18" s="8">
        <f>$B$9</f>
        <v>4.93</v>
      </c>
      <c r="G18" s="1">
        <f>ROUNDUP($B$11/$B$8,0)</f>
        <v>390</v>
      </c>
      <c r="H18" s="8">
        <f>F18*G18</f>
        <v>1922.6999999999998</v>
      </c>
    </row>
    <row r="19" spans="1:8" x14ac:dyDescent="0.55000000000000004">
      <c r="A19" s="1" t="s">
        <v>25</v>
      </c>
      <c r="B19" s="1" t="s">
        <v>22</v>
      </c>
      <c r="C19" s="8">
        <f>$B$10</f>
        <v>0.3478</v>
      </c>
      <c r="D19" s="1">
        <f>(2.8/1000)*$B$12</f>
        <v>29.12</v>
      </c>
      <c r="E19" s="8">
        <f>C19*D19</f>
        <v>10.127936</v>
      </c>
      <c r="F19" s="8">
        <f>$B$10</f>
        <v>0.3478</v>
      </c>
      <c r="G19" s="1">
        <f>(43/1000)*$B$12</f>
        <v>447.2</v>
      </c>
      <c r="H19" s="8">
        <f>F19*G19</f>
        <v>155.53616</v>
      </c>
    </row>
    <row r="20" spans="1:8" x14ac:dyDescent="0.55000000000000004">
      <c r="E20" s="9"/>
      <c r="H20" s="9"/>
    </row>
    <row r="21" spans="1:8" x14ac:dyDescent="0.55000000000000004">
      <c r="A21" s="1" t="s">
        <v>26</v>
      </c>
      <c r="B21" s="1"/>
      <c r="C21" s="1"/>
      <c r="D21" s="1"/>
      <c r="E21" s="8">
        <f>E15</f>
        <v>79</v>
      </c>
      <c r="F21" s="1"/>
      <c r="G21" s="1"/>
      <c r="H21" s="8">
        <f>H15</f>
        <v>238</v>
      </c>
    </row>
    <row r="22" spans="1:8" x14ac:dyDescent="0.55000000000000004">
      <c r="A22" s="1" t="s">
        <v>27</v>
      </c>
      <c r="B22" s="1"/>
      <c r="C22" s="1"/>
      <c r="D22" s="1"/>
      <c r="E22" s="8">
        <f>SUM(E16:E19)</f>
        <v>39330.827935999994</v>
      </c>
      <c r="F22" s="1"/>
      <c r="G22" s="1"/>
      <c r="H22" s="8">
        <f>SUM(H16:H19)</f>
        <v>11548.116160000001</v>
      </c>
    </row>
    <row r="23" spans="1:8" s="7" customFormat="1" x14ac:dyDescent="0.55000000000000004">
      <c r="A23" s="6" t="s">
        <v>28</v>
      </c>
      <c r="B23" s="6"/>
      <c r="C23" s="6"/>
      <c r="D23" s="6"/>
      <c r="E23" s="10">
        <f>E21+E22</f>
        <v>39409.827935999994</v>
      </c>
      <c r="F23" s="6"/>
      <c r="G23" s="6"/>
      <c r="H23" s="10">
        <f>H21+H22</f>
        <v>11786.116160000001</v>
      </c>
    </row>
    <row r="24" spans="1:8" x14ac:dyDescent="0.55000000000000004">
      <c r="A24" s="1" t="s">
        <v>29</v>
      </c>
      <c r="B24" s="1"/>
      <c r="C24" s="1"/>
      <c r="D24" s="1"/>
      <c r="E24" s="11">
        <f>E23/$B$11</f>
        <v>0.20210168172307688</v>
      </c>
      <c r="F24" s="1"/>
      <c r="G24" s="1"/>
      <c r="H24" s="11">
        <f>H23/$B$11</f>
        <v>6.0441621333333341E-2</v>
      </c>
    </row>
    <row r="26" spans="1:8" x14ac:dyDescent="0.55000000000000004">
      <c r="A26" s="4" t="s">
        <v>30</v>
      </c>
      <c r="B26" s="1"/>
      <c r="C26" s="1"/>
    </row>
    <row r="27" spans="1:8" x14ac:dyDescent="0.55000000000000004">
      <c r="A27" s="1" t="s">
        <v>36</v>
      </c>
      <c r="B27" s="1" t="s">
        <v>31</v>
      </c>
      <c r="C27" s="1" t="s">
        <v>32</v>
      </c>
    </row>
    <row r="28" spans="1:8" x14ac:dyDescent="0.55000000000000004">
      <c r="A28" s="1" t="s">
        <v>33</v>
      </c>
      <c r="B28" s="1" t="s">
        <v>34</v>
      </c>
      <c r="C28" s="1" t="s">
        <v>35</v>
      </c>
    </row>
    <row r="29" spans="1:8" x14ac:dyDescent="0.55000000000000004">
      <c r="A29" s="1" t="s">
        <v>37</v>
      </c>
      <c r="B29" s="1" t="s">
        <v>38</v>
      </c>
      <c r="C29" s="1" t="s">
        <v>48</v>
      </c>
    </row>
    <row r="30" spans="1:8" x14ac:dyDescent="0.55000000000000004">
      <c r="A30" s="1" t="s">
        <v>39</v>
      </c>
      <c r="B30" s="1" t="s">
        <v>40</v>
      </c>
      <c r="C30" s="1" t="s">
        <v>41</v>
      </c>
    </row>
    <row r="31" spans="1:8" x14ac:dyDescent="0.55000000000000004">
      <c r="A31" s="1" t="s">
        <v>42</v>
      </c>
      <c r="B31" s="1" t="s">
        <v>43</v>
      </c>
      <c r="C31" s="1" t="s">
        <v>44</v>
      </c>
    </row>
    <row r="32" spans="1:8" x14ac:dyDescent="0.55000000000000004">
      <c r="A32" s="1" t="s">
        <v>45</v>
      </c>
      <c r="B32" s="1" t="s">
        <v>46</v>
      </c>
      <c r="C32" s="1" t="s">
        <v>47</v>
      </c>
    </row>
    <row r="34" spans="1:2" x14ac:dyDescent="0.55000000000000004">
      <c r="A34" s="4" t="s">
        <v>68</v>
      </c>
      <c r="B34" s="4" t="s">
        <v>59</v>
      </c>
    </row>
    <row r="35" spans="1:2" x14ac:dyDescent="0.55000000000000004">
      <c r="A35" s="1" t="s">
        <v>49</v>
      </c>
      <c r="B35" s="5" t="s">
        <v>50</v>
      </c>
    </row>
    <row r="36" spans="1:2" x14ac:dyDescent="0.55000000000000004">
      <c r="A36" s="1" t="s">
        <v>51</v>
      </c>
      <c r="B36" s="5" t="s">
        <v>58</v>
      </c>
    </row>
    <row r="37" spans="1:2" x14ac:dyDescent="0.55000000000000004">
      <c r="A37" s="1" t="s">
        <v>54</v>
      </c>
      <c r="B37" s="5" t="s">
        <v>60</v>
      </c>
    </row>
    <row r="38" spans="1:2" x14ac:dyDescent="0.55000000000000004">
      <c r="A38" s="1" t="s">
        <v>52</v>
      </c>
      <c r="B38" s="5" t="s">
        <v>61</v>
      </c>
    </row>
    <row r="39" spans="1:2" x14ac:dyDescent="0.55000000000000004">
      <c r="A39" s="1" t="s">
        <v>63</v>
      </c>
      <c r="B39" s="5" t="s">
        <v>62</v>
      </c>
    </row>
    <row r="40" spans="1:2" x14ac:dyDescent="0.55000000000000004">
      <c r="A40" s="1" t="s">
        <v>53</v>
      </c>
      <c r="B40" s="5" t="s">
        <v>64</v>
      </c>
    </row>
    <row r="41" spans="1:2" x14ac:dyDescent="0.55000000000000004">
      <c r="A41" s="1" t="s">
        <v>55</v>
      </c>
      <c r="B41" s="5" t="s">
        <v>65</v>
      </c>
    </row>
    <row r="42" spans="1:2" x14ac:dyDescent="0.55000000000000004">
      <c r="A42" s="1" t="s">
        <v>56</v>
      </c>
      <c r="B42" s="5" t="s">
        <v>66</v>
      </c>
    </row>
    <row r="43" spans="1:2" x14ac:dyDescent="0.55000000000000004">
      <c r="A43" s="1" t="s">
        <v>57</v>
      </c>
      <c r="B43" s="5" t="s">
        <v>67</v>
      </c>
    </row>
    <row r="45" spans="1:2" x14ac:dyDescent="0.55000000000000004">
      <c r="A45" s="3" t="s">
        <v>72</v>
      </c>
    </row>
    <row r="46" spans="1:2" x14ac:dyDescent="0.55000000000000004">
      <c r="A46" t="s">
        <v>69</v>
      </c>
    </row>
    <row r="47" spans="1:2" x14ac:dyDescent="0.55000000000000004">
      <c r="A47" t="s">
        <v>70</v>
      </c>
    </row>
    <row r="49" spans="1:1" x14ac:dyDescent="0.55000000000000004">
      <c r="A49" t="s">
        <v>71</v>
      </c>
    </row>
    <row r="50" spans="1:1" x14ac:dyDescent="0.55000000000000004">
      <c r="A50" t="s">
        <v>73</v>
      </c>
    </row>
    <row r="52" spans="1:1" x14ac:dyDescent="0.55000000000000004">
      <c r="A52" t="s">
        <v>74</v>
      </c>
    </row>
    <row r="53" spans="1:1" x14ac:dyDescent="0.55000000000000004">
      <c r="A53" t="s">
        <v>75</v>
      </c>
    </row>
    <row r="55" spans="1:1" x14ac:dyDescent="0.55000000000000004">
      <c r="A55" t="s">
        <v>76</v>
      </c>
    </row>
    <row r="56" spans="1:1" x14ac:dyDescent="0.55000000000000004">
      <c r="A56" t="s">
        <v>77</v>
      </c>
    </row>
    <row r="58" spans="1:1" x14ac:dyDescent="0.55000000000000004">
      <c r="A58" t="s">
        <v>78</v>
      </c>
    </row>
    <row r="59" spans="1:1" x14ac:dyDescent="0.55000000000000004">
      <c r="A59" t="s">
        <v>79</v>
      </c>
    </row>
  </sheetData>
  <hyperlinks>
    <hyperlink ref="B35" r:id="rId1" xr:uid="{EC9AFC67-F00C-456B-A534-965819D392B5}"/>
    <hyperlink ref="B36" r:id="rId2" xr:uid="{486DF539-6F72-4D92-A25D-82941A70E1D0}"/>
    <hyperlink ref="B37" r:id="rId3" xr:uid="{37DFC887-9F88-456E-B371-3AE863F25C5D}"/>
    <hyperlink ref="B38" r:id="rId4" xr:uid="{C49B0565-1549-4F01-A7AA-B931665EAD22}"/>
    <hyperlink ref="B39" r:id="rId5" xr:uid="{64539142-3710-423A-93BA-CE98DC5B55C1}"/>
    <hyperlink ref="B40" r:id="rId6" xr:uid="{946A295F-E7F3-4CCC-868C-8A1582D21E4E}"/>
    <hyperlink ref="B41" r:id="rId7" xr:uid="{9B723401-1154-4740-B054-E1E5A0AEECBC}"/>
    <hyperlink ref="B42" r:id="rId8" xr:uid="{8DD98EEA-F6E3-47C4-B45B-49522AB453F9}"/>
    <hyperlink ref="B43" r:id="rId9" xr:uid="{3F5A8DD7-6CEF-4552-978D-76E755B3FEC2}"/>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TCO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SHAHEED AKEEL S/O MOHAMED SAFEEYUDEEN</dc:creator>
  <cp:lastModifiedBy>MUHAMMAD SHAHEED AKEEL S/O MOHAMED SAFEEYUDEEN</cp:lastModifiedBy>
  <dcterms:created xsi:type="dcterms:W3CDTF">2026-09-16T04:35:16Z</dcterms:created>
  <dcterms:modified xsi:type="dcterms:W3CDTF">2026-09-17T05:45:25Z</dcterms:modified>
</cp:coreProperties>
</file>